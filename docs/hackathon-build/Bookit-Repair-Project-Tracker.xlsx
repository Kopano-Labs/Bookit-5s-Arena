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607bba5f634c1f" /></Relationships>
</file>

<file path=xl/workbook.xml><?xml version="1.0" encoding="utf-8"?>
<x:workbook xmlns:x="http://schemas.openxmlformats.org/spreadsheetml/2006/main">
  <x:sheets>
    <x:sheet xmlns:r="http://schemas.openxmlformats.org/officeDocument/2006/relationships" name="Project Plan" sheetId="1" r:id="Rd011e89560da4274"/>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<x:sst xmlns:x="http://schemas.openxmlformats.org/spreadsheetml/2006/main">
  <x:si>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</x:si>
  <x:si>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</x:si>
  <x:si>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</x:si>
  <x:si>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</x:si>
  <x:si>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Project Title</x:t>
  </x:si>
  <x:si>
    <x:t xml:space="preserve">Aurora Launch</x:t>
  </x:si>
  <x:si>
    <x:t xml:space="preserve">Project Manager</x:t>
  </x:si>
  <x:si>
    <x:t xml:space="preserve">Jordan Lee</x:t>
  </x:si>
  <x:si>
    <x:t xml:space="preserve">TOTAL TASKS</x:t>
  </x:si>
  <x:si>
    <x:t xml:space="preserve">COMPLETE</x:t>
  </x:si>
  <x:si>
    <x:t xml:space="preserve">IN PROGRESS</x:t>
  </x:si>
  <x:si>
    <x:t xml:space="preserve">AT RISK</x:t>
  </x:si>
  <x:si>
    <x:t xml:space="preserve">P0 TASKS</x:t>
  </x:si>
  <x:si>
    <x:t xml:space="preserve">Company Name</x:t>
  </x:si>
  <x:si>
    <x:t xml:space="preserve">Northstar Labs</x:t>
  </x:si>
  <x:si>
    <x:t xml:space="preserve">Timeline Start</x:t>
  </x:si>
  <x:si>
    <x:t xml:space="preserve">WORKSTREAM PLAN</x:t>
  </x:si>
  <x:si>
    <x:t xml:space="preserve">GANTT — 20-WEEK VIEW</x:t>
  </x:si>
  <x:si>
    <x:t xml:space="preserve">Workstream</x:t>
  </x:si>
  <x:si>
    <x:t xml:space="preserve">Task</x:t>
  </x:si>
  <x:si>
    <x:t xml:space="preserve">Owner</x:t>
  </x:si>
  <x:si>
    <x:t xml:space="preserve">Status</x:t>
  </x:si>
  <x:si>
    <x:t xml:space="preserve">Priority</x:t>
  </x:si>
  <x:si>
    <x:t xml:space="preserve">Start Date</x:t>
  </x:si>
  <x:si>
    <x:t xml:space="preserve">End Date</x:t>
  </x:si>
  <x:si>
    <x:t xml:space="preserve">Days</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</x:si>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</x:sst>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4">
    <x:numFmt numFmtId="164" formatCode="mmm\ d\,\ yyyy"/>
    <x:numFmt numFmtId="165" formatCode="#,##0;[Red]\(#,##0\);\-"/>
    <x:numFmt numFmtId="166" formatCode="mmm\ d"/>
    <x:numFmt numFmtId="167" formatCode=";;;"/>
  </x:numFmts>
  <x:fonts count="15">
    <x:font>
      <x:sz val="11"/>
      <x:name val="Arial"/>
    </x:font>
    <x:font>
      <x:b/>
      <x:sz val="14"/>
      <x:color rgb="FFFFFFFF"/>
      <x:name val="Arial"/>
      <x:family val="2"/>
    </x:font>
    <x:font>
      <x:b/>
      <x:sz val="10"/>
      <x:color rgb="FFD9E2EA"/>
      <x:name val="Arial"/>
      <x:family val="2"/>
    </x:font>
    <x:font>
      <x:b/>
      <x:sz val="10"/>
      <x:color rgb="FF3F3296"/>
      <x:name val="Arial"/>
      <x:family val="2"/>
    </x:font>
    <x:font>
      <x:b/>
      <x:sz val="9"/>
      <x:color rgb="FF3F3296"/>
      <x:name val="Arial"/>
      <x:family val="2"/>
    </x:font>
    <x:font>
      <x:b/>
      <x:sz val="8"/>
      <x:color rgb="FFFFFFFF"/>
      <x:name val="Arial"/>
      <x:family val="2"/>
    </x:font>
    <x:font>
      <x:b/>
      <x:sz val="18"/>
      <x:color rgb="FF3F3296"/>
      <x:name val="Arial"/>
      <x:family val="2"/>
    </x:font>
    <x:font>
      <x:b/>
      <x:sz val="18"/>
      <x:color rgb="FF087E5D"/>
      <x:name val="Arial"/>
      <x:family val="2"/>
    </x:font>
    <x:font>
      <x:b/>
      <x:sz val="18"/>
      <x:color rgb="FF3258CD"/>
      <x:name val="Arial"/>
      <x:family val="2"/>
    </x:font>
    <x:font>
      <x:b/>
      <x:sz val="18"/>
      <x:color rgb="FFC23647"/>
      <x:name val="Arial"/>
      <x:family val="2"/>
    </x:font>
    <x:font>
      <x:b/>
      <x:sz val="9"/>
      <x:color rgb="FFFFFFFF"/>
      <x:name val="Arial"/>
      <x:family val="2"/>
    </x:font>
    <x:font>
      <x:sz val="9"/>
      <x:color rgb="FF17212B"/>
      <x:name val="Arial"/>
      <x:family val="2"/>
    </x:font>
    <x:font>
      <x:i/>
      <x:sz val="9"/>
      <x:color rgb="FF3F3296"/>
      <x:name val="Arial"/>
      <x:family val="2"/>
    </x:font>
    <x:font>
      <x:sz val="11"/>
      <x:name val="Arial"/>
      <x:family val="2"/>
    </x:font>
    <x:font>
      <x:sz val="9"/>
      <x:color rgb="FF0432FF"/>
      <x:name val="Arial"/>
      <x:family val="2"/>
    </x:font>
  </x:fonts>
  <x:fills count="9">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s>
  <x:borders count="14">
    <x:border>
      <x:left/>
      <x:right/>
      <x:top/>
      <x:bottom/>
      <x:diagonal/>
    </x:border>
    <x:border>
      <x:left style="thin">
        <x:color rgb="FFD9E0E6"/>
      </x:left>
      <x:right style="thin">
        <x:color rgb="FFD9E0E6"/>
      </x:right>
      <x:top style="thin">
        <x:color rgb="FFD9E0E6"/>
      </x:top>
      <x:bottom style="thin">
        <x:color rgb="FFD9E0E6"/>
      </x:bottom>
      <x:diagonal/>
    </x:border>
    <x:border>
      <x:left style="thin">
        <x:color rgb="FFD6C26E"/>
      </x:left>
      <x:right style="thin">
        <x:color rgb="FFD6C26E"/>
      </x:right>
      <x:top style="thin">
        <x:color rgb="FFD6C26E"/>
      </x:top>
      <x:bottom style="thin">
        <x:color rgb="FFD6C26E"/>
      </x:bottom>
      <x:diagonal/>
    </x:border>
    <x:border>
      <x:left style="thin">
        <x:color rgb="FFECE8FA"/>
      </x:left>
      <x:right/>
      <x:top style="thin">
        <x:color rgb="FFECE8FA"/>
      </x:top>
      <x:bottom style="thin">
        <x:color rgb="FFECE8FA"/>
      </x:bottom>
      <x:diagonal/>
    </x:border>
    <x:border>
      <x:left/>
      <x:right/>
      <x:top style="thin">
        <x:color rgb="FFECE8FA"/>
      </x:top>
      <x:bottom style="thin">
        <x:color rgb="FFECE8FA"/>
      </x:bottom>
      <x:diagonal/>
    </x:border>
    <x:border>
      <x:left/>
      <x:right style="thin">
        <x:color rgb="FFECE8FA"/>
      </x:right>
      <x:top style="thin">
        <x:color rgb="FFECE8FA"/>
      </x:top>
      <x:bottom style="thin">
        <x:color rgb="FFECE8FA"/>
      </x:bottom>
      <x:diagonal/>
    </x:border>
    <x:border>
      <x:left style="thin">
        <x:color rgb="FFECE8FA"/>
      </x:left>
      <x:right/>
      <x:top style="thin">
        <x:color rgb="FFECE8FA"/>
      </x:top>
      <x:bottom/>
      <x:diagonal/>
    </x:border>
    <x:border>
      <x:left/>
      <x:right/>
      <x:top style="thin">
        <x:color rgb="FFECE8FA"/>
      </x:top>
      <x:bottom/>
      <x:diagonal/>
    </x:border>
    <x:border>
      <x:left/>
      <x:right style="thin">
        <x:color rgb="FFECE8FA"/>
      </x:right>
      <x:top style="thin">
        <x:color rgb="FFECE8FA"/>
      </x:top>
      <x:bottom/>
      <x:diagonal/>
    </x:border>
    <x:border>
      <x:left style="thin">
        <x:color rgb="FFECE8FA"/>
      </x:left>
      <x:right/>
      <x:top/>
      <x:bottom style="thin">
        <x:color rgb="FFECE8FA"/>
      </x:bottom>
      <x:diagonal/>
    </x:border>
    <x:border>
      <x:left/>
      <x:right/>
      <x:top/>
      <x:bottom style="thin">
        <x:color rgb="FFECE8FA"/>
      </x:bottom>
      <x:diagonal/>
    </x:border>
    <x:border>
      <x:left/>
      <x:right style="thin">
        <x:color rgb="FFECE8FA"/>
      </x:right>
      <x:top/>
      <x:bottom style="thin">
        <x:color rgb="FFECE8FA"/>
      </x:bottom>
      <x:diagonal/>
    </x:border>
    <x:border>
      <x:left style="thin">
        <x:color rgb="FFD6C26E"/>
      </x:left>
      <x:right/>
      <x:top style="thin">
        <x:color rgb="FFD9E0E6"/>
      </x:top>
      <x:bottom style="thin">
        <x:color rgb="FFD9E0E6"/>
      </x:bottom>
      <x:diagonal/>
    </x:border>
    <x:border>
      <x:left/>
      <x:right style="thin">
        <x:color rgb="FFD6C26E"/>
      </x:right>
      <x:top style="thin">
        <x:color rgb="FFD9E0E6"/>
      </x:top>
      <x:bottom style="thin">
        <x:color rgb="FFD9E0E6"/>
      </x:bottom>
      <x:diagonal/>
    </x:border>
  </x:borders>
  <x:cellStyleXfs count="1">
    <x:xf numFmtId="0" fontId="0" fillId="0" borderId="0"/>
  </x:cellStyleXfs>
  <x:cellXfs count="48">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cellXfs>
  <x:cellStyles count="1">
    <x:cellStyle name="Normal" xfId="0"/>
  </x:cellStyles>
  <x:dxfs count="11">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abfe6d36efc4329" /><Relationship Type="http://schemas.openxmlformats.org/officeDocument/2006/relationships/theme" Target="/xl/theme/theme1.xml" Id="R137c4e929bf14cc8" /><Relationship Type="http://schemas.openxmlformats.org/officeDocument/2006/relationships/sharedStrings" Target="/xl/sharedStrings.xml" Id="R60ac864b8e3a47f5" /><Relationship Type="http://schemas.openxmlformats.org/officeDocument/2006/relationships/worksheet" Target="/xl/worksheets/sheet1.xml" Id="Rd011e89560da427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Bookit repairs and launch readiness</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20 Oct 2026 | NOT LAUNCH-READY</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
        <x:v>2</x:v>
      </x:c>
      <x:c r="C4" s="21" t="s">
        <x:v>2</x:v>
      </x:c>
      <x:c r="D4" s="21" t="s">
        <x:v>2</x:v>
      </x:c>
      <x:c r="E4" s="21" t="s">
        <x:v>2</x:v>
      </x:c>
      <x:c r="F4" s="21" t="s">
        <x:v>2</x:v>
      </x:c>
      <x:c r="G4" s="21" t="s">
        <x:v>2</x:v>
      </x:c>
      <x:c r="H4" s="21" t="s">
        <x:v>2</x:v>
      </x:c>
      <x:c r="I4" s="21" t="s">
        <x:v>2</x:v>
      </x:c>
      <x:c r="J4" s="15"/>
      <x:c r="K4" s="21" t="s">
        <x:v>3</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
        <x:v>4</x:v>
      </x:c>
      <x:c r="C5" s="22" t="str">
        <x:v>Bookit native booking</x:v>
      </x:c>
      <x:c r="D5" s="22" t="s">
        <x:v>5</x:v>
      </x:c>
      <x:c r="E5" s="22" t="s">
        <x:v>5</x:v>
      </x:c>
      <x:c r="F5" s="27" t="s">
        <x:v>6</x:v>
      </x:c>
      <x:c r="G5" s="28"/>
      <x:c r="H5" s="23" t="str">
        <x:v>Codex</x:v>
      </x:c>
      <x:c r="I5" s="23" t="s">
        <x:v>7</x:v>
      </x:c>
      <x:c r="J5" s="15"/>
      <x:c r="K5" s="24" t="s">
        <x:v>8</x:v>
      </x:c>
      <x:c r="L5" s="25" t="s">
        <x:v>8</x:v>
      </x:c>
      <x:c r="M5" s="25" t="s">
        <x:v>8</x:v>
      </x:c>
      <x:c r="N5" s="26" t="s">
        <x:v>8</x:v>
      </x:c>
      <x:c r="O5" s="24" t="s">
        <x:v>9</x:v>
      </x:c>
      <x:c r="P5" s="25" t="s">
        <x:v>9</x:v>
      </x:c>
      <x:c r="Q5" s="25" t="s">
        <x:v>9</x:v>
      </x:c>
      <x:c r="R5" s="26" t="s">
        <x:v>9</x:v>
      </x:c>
      <x:c r="S5" s="24" t="s">
        <x:v>10</x:v>
      </x:c>
      <x:c r="T5" s="25" t="s">
        <x:v>10</x:v>
      </x:c>
      <x:c r="U5" s="25" t="s">
        <x:v>10</x:v>
      </x:c>
      <x:c r="V5" s="26" t="s">
        <x:v>10</x:v>
      </x:c>
      <x:c r="W5" s="24" t="s">
        <x:v>11</x:v>
      </x:c>
      <x:c r="X5" s="25" t="s">
        <x:v>11</x:v>
      </x:c>
      <x:c r="Y5" s="25" t="s">
        <x:v>11</x:v>
      </x:c>
      <x:c r="Z5" s="26" t="s">
        <x:v>11</x:v>
      </x:c>
      <x:c r="AA5" s="24" t="s">
        <x:v>12</x:v>
      </x:c>
      <x:c r="AB5" s="25" t="s">
        <x:v>12</x:v>
      </x:c>
      <x:c r="AC5" s="25" t="s">
        <x:v>12</x:v>
      </x:c>
      <x:c r="AD5" s="26" t="s">
        <x:v>12</x:v>
      </x:c>
    </x:row>
    <x:row r="6" ht="22" customHeight="1">
      <x:c r="B6" s="18" t="s">
        <x:v>13</x:v>
      </x:c>
      <x:c r="C6" s="23" t="str">
        <x:v>Fives Arena</x:v>
      </x:c>
      <x:c r="D6" s="23" t="s">
        <x:v>14</x:v>
      </x:c>
      <x:c r="E6" s="23" t="s">
        <x:v>14</x:v>
      </x:c>
      <x:c r="F6" s="27" t="s">
        <x:v>15</x:v>
      </x:c>
      <x:c r="G6" s="28"/>
      <x:c r="H6" s="41" t="d">
        <x:v>2026-10-20T00:00:00.000Z</x:v>
      </x:c>
      <x:c r="I6" s="41">
        <x:v>46209</x:v>
      </x:c>
      <x:c r="J6" s="15"/>
      <x:c r="K6" s="42" t="n">
        <x:f>COUNTA($C$10:$C$39)</x:f>
        <x:v>24</x:v>
      </x:c>
      <x:c r="L6" s="43"/>
      <x:c r="M6" s="43"/>
      <x:c r="N6" s="44"/>
      <x:c r="O6" s="45" t="n">
        <x:f>COUNTIF($E$10:$E$39,"Complete")</x:f>
        <x:v>0</x:v>
      </x:c>
      <x:c r="P6" s="46"/>
      <x:c r="Q6" s="46"/>
      <x:c r="R6" s="47"/>
      <x:c r="S6" s="35" t="n">
        <x:f>COUNTIF($E$10:$E$39,"In Progress")</x:f>
        <x:v>6</x:v>
      </x:c>
      <x:c r="T6" s="36"/>
      <x:c r="U6" s="36"/>
      <x:c r="V6" s="37"/>
      <x:c r="W6" s="38" t="n">
        <x:f>COUNTIF($E$10:$E$39,"At Risk")</x:f>
        <x:v>3</x:v>
      </x:c>
      <x:c r="X6" s="39"/>
      <x:c r="Y6" s="39"/>
      <x:c r="Z6" s="40"/>
      <x:c r="AA6" s="38" t="n">
        <x:f>COUNTIF($F$10:$F$39,"P0")</x:f>
        <x:v>17</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
        <x:v>16</x:v>
      </x:c>
      <x:c r="C8" s="21" t="s">
        <x:v>16</x:v>
      </x:c>
      <x:c r="D8" s="21" t="s">
        <x:v>16</x:v>
      </x:c>
      <x:c r="E8" s="21" t="s">
        <x:v>16</x:v>
      </x:c>
      <x:c r="F8" s="21" t="s">
        <x:v>16</x:v>
      </x:c>
      <x:c r="G8" s="21" t="s">
        <x:v>16</x:v>
      </x:c>
      <x:c r="H8" s="21" t="s">
        <x:v>16</x:v>
      </x:c>
      <x:c r="I8" s="21" t="s">
        <x:v>16</x:v>
      </x:c>
      <x:c r="J8" s="15"/>
      <x:c r="K8" s="21" t="s">
        <x:v>17</x:v>
      </x:c>
      <x:c r="L8" s="21" t="s">
        <x:v>17</x:v>
      </x:c>
      <x:c r="M8" s="21" t="s">
        <x:v>17</x:v>
      </x:c>
      <x:c r="N8" s="21" t="s">
        <x:v>17</x:v>
      </x:c>
      <x:c r="O8" s="21" t="s">
        <x:v>17</x:v>
      </x:c>
      <x:c r="P8" s="21" t="s">
        <x:v>17</x:v>
      </x:c>
      <x:c r="Q8" s="21" t="s">
        <x:v>17</x:v>
      </x:c>
      <x:c r="R8" s="21" t="s">
        <x:v>17</x:v>
      </x:c>
      <x:c r="S8" s="21" t="s">
        <x:v>17</x:v>
      </x:c>
      <x:c r="T8" s="21" t="s">
        <x:v>17</x:v>
      </x:c>
      <x:c r="U8" s="21" t="s">
        <x:v>17</x:v>
      </x:c>
      <x:c r="V8" s="21" t="s">
        <x:v>17</x:v>
      </x:c>
      <x:c r="W8" s="21" t="s">
        <x:v>17</x:v>
      </x:c>
      <x:c r="X8" s="21" t="s">
        <x:v>17</x:v>
      </x:c>
      <x:c r="Y8" s="21" t="s">
        <x:v>17</x:v>
      </x:c>
      <x:c r="Z8" s="21" t="s">
        <x:v>17</x:v>
      </x:c>
      <x:c r="AA8" s="21" t="s">
        <x:v>17</x:v>
      </x:c>
      <x:c r="AB8" s="21" t="s">
        <x:v>17</x:v>
      </x:c>
      <x:c r="AC8" s="21" t="s">
        <x:v>17</x:v>
      </x:c>
      <x:c r="AD8" s="21" t="s">
        <x:v>17</x:v>
      </x:c>
    </x:row>
    <x:row r="9" ht="28" customHeight="1">
      <x:c r="B9" s="1" t="s">
        <x:v>18</x:v>
      </x:c>
      <x:c r="C9" s="1" t="s">
        <x:v>19</x:v>
      </x:c>
      <x:c r="D9" s="1" t="s">
        <x:v>20</x:v>
      </x:c>
      <x:c r="E9" s="1" t="s">
        <x:v>21</x:v>
      </x:c>
      <x:c r="F9" s="1" t="s">
        <x:v>22</x:v>
      </x:c>
      <x:c r="G9" s="1" t="s">
        <x:v>23</x:v>
      </x:c>
      <x:c r="H9" s="1" t="s">
        <x:v>24</x:v>
      </x:c>
      <x:c r="I9" s="1" t="s">
        <x:v>25</x:v>
      </x:c>
      <x:c r="J9" s="15"/>
      <x:c r="K9" s="2" t="n">
        <x:f>$H$6</x:f>
        <x:v>46315</x:v>
      </x:c>
      <x:c r="L9" s="2" t="n">
        <x:f t="shared" ref="L9:AD9" si="0">K9+7</x:f>
        <x:v>46322</x:v>
      </x:c>
      <x:c r="M9" s="2" t="n">
        <x:f t="shared" si="0">L9+7</x:f>
        <x:v>46329</x:v>
      </x:c>
      <x:c r="N9" s="2" t="n">
        <x:f t="shared" si="0">M9+7</x:f>
        <x:v>46336</x:v>
      </x:c>
      <x:c r="O9" s="2" t="n">
        <x:f t="shared" si="0">N9+7</x:f>
        <x:v>46343</x:v>
      </x:c>
      <x:c r="P9" s="2" t="n">
        <x:f t="shared" si="0">O9+7</x:f>
        <x:v>46350</x:v>
      </x:c>
      <x:c r="Q9" s="2" t="n">
        <x:f t="shared" si="0">P9+7</x:f>
        <x:v>46357</x:v>
      </x:c>
      <x:c r="R9" s="2" t="n">
        <x:f t="shared" si="0">Q9+7</x:f>
        <x:v>46364</x:v>
      </x:c>
      <x:c r="S9" s="2" t="n">
        <x:f t="shared" si="0">R9+7</x:f>
        <x:v>46371</x:v>
      </x:c>
      <x:c r="T9" s="2" t="n">
        <x:f t="shared" si="0">S9+7</x:f>
        <x:v>46378</x:v>
      </x:c>
      <x:c r="U9" s="2" t="n">
        <x:f t="shared" si="0">T9+7</x:f>
        <x:v>46385</x:v>
      </x:c>
      <x:c r="V9" s="2" t="n">
        <x:f t="shared" si="0">U9+7</x:f>
        <x:v>46392</x:v>
      </x:c>
      <x:c r="W9" s="2" t="n">
        <x:f t="shared" si="0">V9+7</x:f>
        <x:v>46399</x:v>
      </x:c>
      <x:c r="X9" s="2" t="n">
        <x:f t="shared" si="0">W9+7</x:f>
        <x:v>46406</x:v>
      </x:c>
      <x:c r="Y9" s="2" t="n">
        <x:f t="shared" si="0">X9+7</x:f>
        <x:v>46413</x:v>
      </x:c>
      <x:c r="Z9" s="2" t="n">
        <x:f t="shared" si="0">Y9+7</x:f>
        <x:v>46420</x:v>
      </x:c>
      <x:c r="AA9" s="2" t="n">
        <x:f t="shared" si="0">Z9+7</x:f>
        <x:v>46427</x:v>
      </x:c>
      <x:c r="AB9" s="2" t="n">
        <x:f t="shared" si="0">AA9+7</x:f>
        <x:v>46434</x:v>
      </x:c>
      <x:c r="AC9" s="2" t="n">
        <x:f t="shared" si="0">AB9+7</x:f>
        <x:v>46441</x:v>
      </x:c>
      <x:c r="AD9" s="2" t="n">
        <x:f t="shared" si="0">AC9+7</x:f>
        <x:v>46448</x:v>
      </x:c>
    </x:row>
    <x:row r="10">
      <x:c r="B10" s="5" t="str">
        <x:v>Engineering</x:v>
      </x:c>
      <x:c r="C10" s="4" t="str">
        <x:v>1a Verify refs, REA and KPGS</x:v>
      </x:c>
      <x:c r="D10" s="7" t="str">
        <x:v>Codex</x:v>
      </x:c>
      <x:c r="E10" s="7" t="str">
        <x:v>In Progress</x:v>
      </x:c>
      <x:c r="F10" s="7" t="str">
        <x:v>P0</x:v>
      </x:c>
      <x:c r="G10" s="16"/>
      <x:c r="H10" s="16"/>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x:c r="B11" s="6" t="str">
        <x:v>Engineering</x:v>
      </x:c>
      <x:c r="C11" s="3" t="str">
        <x:v>1b Compare recovered source history</x:v>
      </x:c>
      <x:c r="D11" s="8" t="str">
        <x:v>Codex</x:v>
      </x:c>
      <x:c r="E11" s="8" t="str">
        <x:v>In Progress</x:v>
      </x:c>
      <x:c r="F11" s="8" t="str">
        <x:v>P0</x:v>
      </x:c>
      <x:c r="G11" s="17"/>
      <x:c r="H11" s="17"/>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x:c r="B12" s="5" t="str">
        <x:v>Design</x:v>
      </x:c>
      <x:c r="C12" s="4" t="str">
        <x:v>2a Audit arrival and booking journey</x:v>
      </x:c>
      <x:c r="D12" s="7" t="str">
        <x:v>Codex</x:v>
      </x:c>
      <x:c r="E12" s="7" t="str">
        <x:v>In Progress</x:v>
      </x:c>
      <x:c r="F12" s="7" t="str">
        <x:v>P1</x:v>
      </x:c>
      <x:c r="G12" s="16"/>
      <x:c r="H12" s="16"/>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x:c r="B13" s="6" t="str">
        <x:v>Design</x:v>
      </x:c>
      <x:c r="C13" s="3" t="str">
        <x:v>2b Visual site + flow direction</x:v>
      </x:c>
      <x:c r="D13" s="8" t="str">
        <x:v>Codex</x:v>
      </x:c>
      <x:c r="E13" s="8" t="str">
        <x:v>Not Started</x:v>
      </x:c>
      <x:c r="F13" s="8" t="str">
        <x:v>P1</x:v>
      </x:c>
      <x:c r="G13" s="17"/>
      <x:c r="H13" s="17"/>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x:c r="B14" s="5" t="str">
        <x:v>Engineering</x:v>
      </x:c>
      <x:c r="C14" s="4" t="str">
        <x:v>3a Trace database + missing data</x:v>
      </x:c>
      <x:c r="D14" s="7" t="str">
        <x:v>Codex</x:v>
      </x:c>
      <x:c r="E14" s="7" t="str">
        <x:v>In Progress</x:v>
      </x:c>
      <x:c r="F14" s="7" t="str">
        <x:v>P0</x:v>
      </x:c>
      <x:c r="G14" s="16"/>
      <x:c r="H14" s="16"/>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x:c r="B15" s="6" t="str">
        <x:v>Engineering</x:v>
      </x:c>
      <x:c r="C15" s="3" t="str">
        <x:v>3b Isolate DB; prove save + read</x:v>
      </x:c>
      <x:c r="D15" s="8" t="str">
        <x:v>Codex</x:v>
      </x:c>
      <x:c r="E15" s="8" t="str">
        <x:v>Not Started</x:v>
      </x:c>
      <x:c r="F15" s="8" t="str">
        <x:v>P0</x:v>
      </x:c>
      <x:c r="G15" s="17"/>
      <x:c r="H15" s="17"/>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x:c r="B16" s="5" t="str">
        <x:v>Support &amp; Ops</x:v>
      </x:c>
      <x:c r="C16" s="4" t="str">
        <x:v>4a Verify courts, rates + policies</x:v>
      </x:c>
      <x:c r="D16" s="7" t="str">
        <x:v>Codex</x:v>
      </x:c>
      <x:c r="E16" s="7" t="str">
        <x:v>At Risk</x:v>
      </x:c>
      <x:c r="F16" s="7" t="str">
        <x:v>P0</x:v>
      </x:c>
      <x:c r="G16" s="16"/>
      <x:c r="H16" s="16"/>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x:c r="B17" s="6" t="str">
        <x:v>Engineering</x:v>
      </x:c>
      <x:c r="C17" s="3" t="str">
        <x:v>4b Reconcile active reservations</x:v>
      </x:c>
      <x:c r="D17" s="8" t="str">
        <x:v>Codex</x:v>
      </x:c>
      <x:c r="E17" s="8" t="str">
        <x:v>At Risk</x:v>
      </x:c>
      <x:c r="F17" s="8" t="str">
        <x:v>P0</x:v>
      </x:c>
      <x:c r="G17" s="17"/>
      <x:c r="H17" s="17"/>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x:c r="B18" s="5" t="str">
        <x:v>Engineering</x:v>
      </x:c>
      <x:c r="C18" s="4" t="str">
        <x:v>5a Atomic slots + safe retries</x:v>
      </x:c>
      <x:c r="D18" s="7" t="str">
        <x:v>Codex</x:v>
      </x:c>
      <x:c r="E18" s="7" t="str">
        <x:v>Not Started</x:v>
      </x:c>
      <x:c r="F18" s="7" t="str">
        <x:v>P0</x:v>
      </x:c>
      <x:c r="G18" s="16"/>
      <x:c r="H18" s="16"/>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x:c r="B19" s="6" t="str">
        <x:v>Engineering</x:v>
      </x:c>
      <x:c r="C19" s="3" t="str">
        <x:v>5b Safe edits, cancel + payments</x:v>
      </x:c>
      <x:c r="D19" s="8" t="str">
        <x:v>Codex</x:v>
      </x:c>
      <x:c r="E19" s="8" t="str">
        <x:v>Not Started</x:v>
      </x:c>
      <x:c r="F19" s="8" t="str">
        <x:v>P0</x:v>
      </x:c>
      <x:c r="G19" s="17"/>
      <x:c r="H19" s="17"/>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x:c r="B20" s="5" t="str">
        <x:v>Design</x:v>
      </x:c>
      <x:c r="C20" s="4" t="str">
        <x:v>6a Refine visual native booking</x:v>
      </x:c>
      <x:c r="D20" s="7" t="str">
        <x:v>Codex</x:v>
      </x:c>
      <x:c r="E20" s="7" t="str">
        <x:v>In Progress</x:v>
      </x:c>
      <x:c r="F20" s="7" t="str">
        <x:v>P1</x:v>
      </x:c>
      <x:c r="G20" s="16"/>
      <x:c r="H20" s="16"/>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x:c r="B21" s="6" t="str">
        <x:v>Engineering</x:v>
      </x:c>
      <x:c r="C21" s="3" t="str">
        <x:v>6b Connect live times + saved result</x:v>
      </x:c>
      <x:c r="D21" s="8" t="str">
        <x:v>Codex</x:v>
      </x:c>
      <x:c r="E21" s="8" t="str">
        <x:v>Not Started</x:v>
      </x:c>
      <x:c r="F21" s="8" t="str">
        <x:v>P0</x:v>
      </x:c>
      <x:c r="G21" s="17"/>
      <x:c r="H21" s="17"/>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x:c r="B22" s="5" t="str">
        <x:v>Engineering</x:v>
      </x:c>
      <x:c r="C22" s="4" t="str">
        <x:v>7a Recover dispatch + add welcome</x:v>
      </x:c>
      <x:c r="D22" s="7" t="str">
        <x:v>Codex</x:v>
      </x:c>
      <x:c r="E22" s="7" t="str">
        <x:v>In Progress</x:v>
      </x:c>
      <x:c r="F22" s="7" t="str">
        <x:v>P0</x:v>
      </x:c>
      <x:c r="G22" s="16"/>
      <x:c r="H22" s="16"/>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x:c r="B23" s="6" t="str">
        <x:v>Engineering</x:v>
      </x:c>
      <x:c r="C23" s="3" t="str">
        <x:v>7b Both-side receipts + management</x:v>
      </x:c>
      <x:c r="D23" s="8" t="str">
        <x:v>Codex</x:v>
      </x:c>
      <x:c r="E23" s="8" t="str">
        <x:v>Not Started</x:v>
      </x:c>
      <x:c r="F23" s="8" t="str">
        <x:v>P0</x:v>
      </x:c>
      <x:c r="G23" s="17"/>
      <x:c r="H23" s="17"/>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x:c r="B24" s="5" t="str">
        <x:v>Engineering</x:v>
      </x:c>
      <x:c r="C24" s="4" t="str">
        <x:v>8a Saved booking in venue dashboard</x:v>
      </x:c>
      <x:c r="D24" s="7" t="str">
        <x:v>Codex</x:v>
      </x:c>
      <x:c r="E24" s="7" t="str">
        <x:v>Not Started</x:v>
      </x:c>
      <x:c r="F24" s="7" t="str">
        <x:v>P0</x:v>
      </x:c>
      <x:c r="G24" s="16"/>
      <x:c r="H24" s="16"/>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x:c r="B25" s="6" t="str">
        <x:v>Engineering</x:v>
      </x:c>
      <x:c r="C25" s="3" t="str">
        <x:v>8b Profile, history + staff actions</x:v>
      </x:c>
      <x:c r="D25" s="8" t="str">
        <x:v>Codex</x:v>
      </x:c>
      <x:c r="E25" s="8" t="str">
        <x:v>Not Started</x:v>
      </x:c>
      <x:c r="F25" s="8" t="str">
        <x:v>P1</x:v>
      </x:c>
      <x:c r="G25" s="17"/>
      <x:c r="H25" s="17"/>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x:c r="B26" s="5" t="str">
        <x:v>Engineering</x:v>
      </x:c>
      <x:c r="C26" s="4" t="str">
        <x:v>9a Errors, retries + CI repair</x:v>
      </x:c>
      <x:c r="D26" s="7" t="str">
        <x:v>Codex</x:v>
      </x:c>
      <x:c r="E26" s="7" t="str">
        <x:v>Not Started</x:v>
      </x:c>
      <x:c r="F26" s="7" t="str">
        <x:v>P0</x:v>
      </x:c>
      <x:c r="G26" s="16"/>
      <x:c r="H26" s="16"/>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x:c r="B27" s="6" t="str">
        <x:v>Design</x:v>
      </x:c>
      <x:c r="C27" s="3" t="str">
        <x:v>9b Mobile, accessibility + privacy</x:v>
      </x:c>
      <x:c r="D27" s="8" t="str">
        <x:v>Codex</x:v>
      </x:c>
      <x:c r="E27" s="8" t="str">
        <x:v>Not Started</x:v>
      </x:c>
      <x:c r="F27" s="8" t="str">
        <x:v>P1</x:v>
      </x:c>
      <x:c r="G27" s="17"/>
      <x:c r="H27" s="17"/>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x:c r="B28" s="5" t="str">
        <x:v>Engineering</x:v>
      </x:c>
      <x:c r="C28" s="4" t="str">
        <x:v>10a Browser &gt; DB &gt; dashboard proof</x:v>
      </x:c>
      <x:c r="D28" s="7" t="str">
        <x:v>Codex</x:v>
      </x:c>
      <x:c r="E28" s="7" t="str">
        <x:v>Not Started</x:v>
      </x:c>
      <x:c r="F28" s="7" t="str">
        <x:v>P0</x:v>
      </x:c>
      <x:c r="G28" s="16"/>
      <x:c r="H28" s="16"/>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x:c r="B29" s="6" t="str">
        <x:v>Engineering</x:v>
      </x:c>
      <x:c r="C29" s="3" t="str">
        <x:v>10b Delivery + lifecycle proof</x:v>
      </x:c>
      <x:c r="D29" s="8" t="str">
        <x:v>Codex</x:v>
      </x:c>
      <x:c r="E29" s="8" t="str">
        <x:v>Not Started</x:v>
      </x:c>
      <x:c r="F29" s="8" t="str">
        <x:v>P0</x:v>
      </x:c>
      <x:c r="G29" s="17"/>
      <x:c r="H29" s="17"/>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x:c r="B30" s="5" t="str">
        <x:v>Product</x:v>
      </x:c>
      <x:c r="C30" s="4" t="str">
        <x:v>11a Working flow review before launch</x:v>
      </x:c>
      <x:c r="D30" s="7" t="str">
        <x:v>Kholofelo</x:v>
      </x:c>
      <x:c r="E30" s="7" t="str">
        <x:v>Not Started</x:v>
      </x:c>
      <x:c r="F30" s="7" t="str">
        <x:v>P0</x:v>
      </x:c>
      <x:c r="G30" s="16"/>
      <x:c r="H30" s="16"/>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x:c r="B31" s="6" t="str">
        <x:v>Engineering</x:v>
      </x:c>
      <x:c r="C31" s="3" t="str">
        <x:v>11b Cutover, deploy + safe readback</x:v>
      </x:c>
      <x:c r="D31" s="8" t="str">
        <x:v>Codex</x:v>
      </x:c>
      <x:c r="E31" s="8" t="str">
        <x:v>At Risk</x:v>
      </x:c>
      <x:c r="F31" s="8" t="str">
        <x:v>P0</x:v>
      </x:c>
      <x:c r="G31" s="10"/>
      <x:c r="H31" s="10"/>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x:c r="B32" s="5" t="str">
        <x:v>Support &amp; Ops</x:v>
      </x:c>
      <x:c r="C32" s="4" t="str">
        <x:v>12a Client + operator walkthrough</x:v>
      </x:c>
      <x:c r="D32" s="7" t="str">
        <x:v>Codex</x:v>
      </x:c>
      <x:c r="E32" s="7" t="str">
        <x:v>Not Started</x:v>
      </x:c>
      <x:c r="F32" s="7" t="str">
        <x:v>P1</x:v>
      </x:c>
      <x:c r="G32" s="9"/>
      <x:c r="H32" s="9"/>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x:c r="B33" s="6" t="str">
        <x:v>Product</x:v>
      </x:c>
      <x:c r="C33" s="3" t="str">
        <x:v>12b Evidence + consistency handoff</x:v>
      </x:c>
      <x:c r="D33" s="8" t="str">
        <x:v>Codex</x:v>
      </x:c>
      <x:c r="E33" s="8" t="str">
        <x:v>Not Started</x:v>
      </x:c>
      <x:c r="F33" s="8" t="str">
        <x:v>P1</x:v>
      </x:c>
      <x:c r="G33" s="10"/>
      <x:c r="H33" s="10"/>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x:c r="B34" s="5"/>
      <x:c r="C34" s="4"/>
      <x:c r="D34" s="7"/>
      <x:c r="E34" s="7"/>
      <x:c r="F34" s="7"/>
      <x:c r="G34" s="9"/>
      <x:c r="H34" s="9"/>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x:c r="B35" s="6"/>
      <x:c r="C35" s="3"/>
      <x:c r="D35" s="8"/>
      <x:c r="E35" s="8"/>
      <x:c r="F35" s="8"/>
      <x:c r="G35" s="10"/>
      <x:c r="H35" s="10"/>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x:c r="B36" s="5"/>
      <x:c r="C36" s="4"/>
      <x:c r="D36" s="7"/>
      <x:c r="E36" s="7"/>
      <x:c r="F36" s="7"/>
      <x:c r="G36" s="9"/>
      <x:c r="H36" s="9"/>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x:c r="B37" s="6"/>
      <x:c r="C37" s="3"/>
      <x:c r="D37" s="8"/>
      <x:c r="E37" s="8"/>
      <x:c r="F37" s="8"/>
      <x:c r="G37" s="10"/>
      <x:c r="H37" s="10"/>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x:c r="B38" s="5"/>
      <x:c r="C38" s="4"/>
      <x:c r="D38" s="7"/>
      <x:c r="E38" s="7"/>
      <x:c r="F38" s="7"/>
      <x:c r="G38" s="9"/>
      <x:c r="H38" s="9"/>
      <x:c r="I38" s="11" t="str">
        <x:f t="shared" si="1">IF(OR(G38="",H38="",H38&lt;G38),"",H38-G38+1)</x:f>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x:c r="B39" s="6"/>
      <x:c r="C39" s="3"/>
      <x:c r="D39" s="8"/>
      <x:c r="E39" s="8"/>
      <x:c r="F39" s="8"/>
      <x:c r="G39" s="10"/>
      <x:c r="H39" s="10"/>
      <x:c r="I39" s="11" t="str">
        <x:f t="shared" si="1">IF(OR(G39="",H39="",H39&lt;G39),"",H39-G39+1)</x:f>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29" t="str">
        <x:v>24 slices / 12 packages; 0 complete. Dates unassigned; timeline is a planning grid, not a launch promise. At Risk = missing inventory/reservation evidence or blocked cutover. Numbered tasks map to docs/hackathon-build/checklist.md; acceptance, dependencies and evidence: deploy-checklist.md. Snapshot: PR #51 @771b42f; production @85e6e2b (20 Oct 2026). Update status only with receipts.</x:v>
      </x:c>
      <x:c r="C41" s="30" t="s">
        <x:v>26</x:v>
      </x:c>
      <x:c r="D41" s="30" t="s">
        <x:v>26</x:v>
      </x:c>
      <x:c r="E41" s="30" t="s">
        <x:v>26</x:v>
      </x:c>
      <x:c r="F41" s="30" t="s">
        <x:v>26</x:v>
      </x:c>
      <x:c r="G41" s="30" t="s">
        <x:v>26</x:v>
      </x:c>
      <x:c r="H41" s="30" t="s">
        <x:v>26</x:v>
      </x:c>
      <x:c r="I41" s="30" t="s">
        <x:v>26</x:v>
      </x:c>
      <x:c r="J41" s="30" t="s">
        <x:v>26</x:v>
      </x:c>
      <x:c r="K41" s="30" t="s">
        <x:v>26</x:v>
      </x:c>
      <x:c r="L41" s="30" t="s">
        <x:v>26</x:v>
      </x:c>
      <x:c r="M41" s="30" t="s">
        <x:v>26</x:v>
      </x:c>
      <x:c r="N41" s="30" t="s">
        <x:v>26</x:v>
      </x:c>
      <x:c r="O41" s="30" t="s">
        <x:v>26</x:v>
      </x:c>
      <x:c r="P41" s="30" t="s">
        <x:v>26</x:v>
      </x:c>
      <x:c r="Q41" s="30" t="s">
        <x:v>26</x:v>
      </x:c>
      <x:c r="R41" s="30" t="s">
        <x:v>26</x:v>
      </x:c>
      <x:c r="S41" s="30" t="s">
        <x:v>26</x:v>
      </x:c>
      <x:c r="T41" s="30" t="s">
        <x:v>26</x:v>
      </x:c>
      <x:c r="U41" s="30" t="s">
        <x:v>26</x:v>
      </x:c>
      <x:c r="V41" s="30" t="s">
        <x:v>26</x:v>
      </x:c>
      <x:c r="W41" s="30" t="s">
        <x:v>26</x:v>
      </x:c>
      <x:c r="X41" s="30" t="s">
        <x:v>26</x:v>
      </x:c>
      <x:c r="Y41" s="30" t="s">
        <x:v>26</x:v>
      </x:c>
      <x:c r="Z41" s="30" t="s">
        <x:v>26</x:v>
      </x:c>
      <x:c r="AA41" s="30" t="s">
        <x:v>26</x:v>
      </x:c>
      <x:c r="AB41" s="30" t="s">
        <x:v>26</x:v>
      </x:c>
      <x:c r="AC41" s="30" t="s">
        <x:v>26</x:v>
      </x:c>
      <x:c r="AD41" s="31" t="s">
        <x:v>26</x:v>
      </x:c>
    </x:row>
    <x:row r="42" ht="24" customHeight="1">
      <x:c r="B42" s="32" t="s">
        <x:v>26</x:v>
      </x:c>
      <x:c r="C42" s="33" t="s">
        <x:v>26</x:v>
      </x:c>
      <x:c r="D42" s="33" t="s">
        <x:v>26</x:v>
      </x:c>
      <x:c r="E42" s="33" t="s">
        <x:v>26</x:v>
      </x:c>
      <x:c r="F42" s="33" t="s">
        <x:v>26</x:v>
      </x:c>
      <x:c r="G42" s="33" t="s">
        <x:v>26</x:v>
      </x:c>
      <x:c r="H42" s="33" t="s">
        <x:v>26</x:v>
      </x:c>
      <x:c r="I42" s="33" t="s">
        <x:v>26</x:v>
      </x:c>
      <x:c r="J42" s="33" t="s">
        <x:v>26</x:v>
      </x:c>
      <x:c r="K42" s="33" t="s">
        <x:v>26</x:v>
      </x:c>
      <x:c r="L42" s="33" t="s">
        <x:v>26</x:v>
      </x:c>
      <x:c r="M42" s="33" t="s">
        <x:v>26</x:v>
      </x:c>
      <x:c r="N42" s="33" t="s">
        <x:v>26</x:v>
      </x:c>
      <x:c r="O42" s="33" t="s">
        <x:v>26</x:v>
      </x:c>
      <x:c r="P42" s="33" t="s">
        <x:v>26</x:v>
      </x:c>
      <x:c r="Q42" s="33" t="s">
        <x:v>26</x:v>
      </x:c>
      <x:c r="R42" s="33" t="s">
        <x:v>26</x:v>
      </x:c>
      <x:c r="S42" s="33" t="s">
        <x:v>26</x:v>
      </x:c>
      <x:c r="T42" s="33" t="s">
        <x:v>26</x:v>
      </x:c>
      <x:c r="U42" s="33" t="s">
        <x:v>26</x:v>
      </x:c>
      <x:c r="V42" s="33" t="s">
        <x:v>26</x:v>
      </x:c>
      <x:c r="W42" s="33" t="s">
        <x:v>26</x:v>
      </x:c>
      <x:c r="X42" s="33" t="s">
        <x:v>26</x:v>
      </x:c>
      <x:c r="Y42" s="33" t="s">
        <x:v>26</x:v>
      </x:c>
      <x:c r="Z42" s="33" t="s">
        <x:v>26</x:v>
      </x:c>
      <x:c r="AA42" s="33" t="s">
        <x:v>26</x:v>
      </x:c>
      <x:c r="AB42" s="33" t="s">
        <x:v>26</x:v>
      </x:c>
      <x:c r="AC42" s="33" t="s">
        <x:v>26</x:v>
      </x:c>
      <x:c r="AD42" s="34" t="s">
        <x:v>26</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"Product,Engineering,Design,Growth,Support &amp; Ops,Legal &amp; Security"</x:formula1>
    </x:dataValidation>
    <x:dataValidation type="list" sqref="D10:D39">
      <x:formula1>"Codex,Kholofelo,Unassigned"</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